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  <sheet name="Onde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;-R$ #,##0;&quot;-&quot;"/>
  </numFmts>
  <fonts count="9">
    <font>
      <name val="Calibri"/>
      <family val="2"/>
      <color theme="1"/>
      <sz val="11"/>
      <scheme val="minor"/>
    </font>
    <font>
      <name val="Arial"/>
      <b val="1"/>
      <color rgb="00031C37"/>
      <sz val="14"/>
    </font>
    <font>
      <name val="Arial"/>
      <i val="1"/>
      <color rgb="005F6062"/>
      <sz val="9"/>
    </font>
    <font>
      <name val="Arial"/>
      <color rgb="005F6062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304557"/>
      <sz val="9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31C37"/>
      </patternFill>
    </fill>
    <fill>
      <patternFill patternType="solid">
        <fgColor rgb="00E9EDF2"/>
      </patternFill>
    </fill>
    <fill>
      <patternFill patternType="solid">
        <fgColor rgb="00F6EFD9"/>
      </patternFill>
    </fill>
  </fills>
  <borders count="2">
    <border>
      <left/>
      <right/>
      <top/>
      <bottom/>
      <diagonal/>
    </border>
    <border>
      <bottom style="thin">
        <color rgb="00C8CD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0" fillId="4" borderId="0" pivotButton="0" quotePrefix="0" xfId="0"/>
    <xf numFmtId="0" fontId="8" fillId="4" borderId="0" pivotButton="0" quotePrefix="0" xfId="0"/>
    <xf numFmtId="164" fontId="8" fillId="4" borderId="0" pivotButton="0" quotePrefix="0" xfId="0"/>
    <xf numFmtId="0" fontId="4" fillId="2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llaphoto.com.br/camera-sony-fx30-digital-cinema" TargetMode="External" Id="rId1" /><Relationship Type="http://schemas.openxmlformats.org/officeDocument/2006/relationships/hyperlink" Target="https://www.horizonplay.com.br/produto/camera-digital-sony-a7-iv-ilce-7m4-33mp-3-0-lente-fe-28-70mm-oss-corpo-150843" TargetMode="External" Id="rId2" /><Relationship Type="http://schemas.openxmlformats.org/officeDocument/2006/relationships/hyperlink" Target="https://www.bellaphoto.com.br/lente-tamron-28-75mm-f28-di-iii-vxd-g2-para-cameras-sony-e" TargetMode="External" Id="rId3" /><Relationship Type="http://schemas.openxmlformats.org/officeDocument/2006/relationships/hyperlink" Target="https://www.bellaphoto.com.br/lente-tamron-16-30mm-f28-di-iii-vxd-g2-para-cameras-sony-e" TargetMode="External" Id="rId4" /><Relationship Type="http://schemas.openxmlformats.org/officeDocument/2006/relationships/hyperlink" Target="https://www.shop-av.com/bateria-sony-np-fz100-cameras-a7iii-a6600" TargetMode="External" Id="rId5" /><Relationship Type="http://schemas.openxmlformats.org/officeDocument/2006/relationships/hyperlink" Target="https://www.worldview.com.br/adaptador-ac-pw20-com-acoplador-dc-np-fz100-para-bateria-sony-fz100-bivolt/p" TargetMode="External" Id="rId6" /><Relationship Type="http://schemas.openxmlformats.org/officeDocument/2006/relationships/hyperlink" Target="https://www.shop-av.com/produto/smallrig-4087-carregador-de-bateria-sony-np-fz100.html" TargetMode="External" Id="rId7" /><Relationship Type="http://schemas.openxmlformats.org/officeDocument/2006/relationships/hyperlink" Target="https://www.shop-av.com/produto/cartao-de-memoria-sdxc-lexar-2000x-128-gb-v90-uhs-ii-300mbs.html" TargetMode="External" Id="rId8" /><Relationship Type="http://schemas.openxmlformats.org/officeDocument/2006/relationships/hyperlink" Target="https://lista.mercadolivre.com.br/matt-box" TargetMode="External" Id="rId9" /><Relationship Type="http://schemas.openxmlformats.org/officeDocument/2006/relationships/hyperlink" Target="https://www.amazon.com.br/hollyland-lark/s?k=hollyland+lark" TargetMode="External" Id="rId10" /><Relationship Type="http://schemas.openxmlformats.org/officeDocument/2006/relationships/hyperlink" Target="https://www.mercadolivre.com.br/gravador-de-podcast-multifaixa-portatil-zoom-podtrak-p4-cor-cinza/p/MLB27949896" TargetMode="External" Id="rId11" /><Relationship Type="http://schemas.openxmlformats.org/officeDocument/2006/relationships/hyperlink" Target="https://lista.mercadolivre.com.br/fonte-5v-2a-usb-c" TargetMode="External" Id="rId12" /><Relationship Type="http://schemas.openxmlformats.org/officeDocument/2006/relationships/hyperlink" Target="https://www.mercadolivre.com.br/carto-de-memoria-lexar-sd-xc-64gb-150mbs-uhs-i-v30-pro/p/MLB37831026" TargetMode="External" Id="rId13" /><Relationship Type="http://schemas.openxmlformats.org/officeDocument/2006/relationships/hyperlink" Target="https://www.kabum.com.br/produto/435116/microfone-dinamico-fifine-k688-usb-xlr-preto" TargetMode="External" Id="rId14" /><Relationship Type="http://schemas.openxmlformats.org/officeDocument/2006/relationships/hyperlink" Target="https://www.pichau.com.br/braco-articulado-para-microfone-fifine-bm88-preto-bm88-blk" TargetMode="External" Id="rId15" /><Relationship Type="http://schemas.openxmlformats.org/officeDocument/2006/relationships/hyperlink" Target="https://www.amazon.com.br/MICROFONE-CONECTOR-MACHO-FEMEA-METROS/dp/B076N55W36" TargetMode="External" Id="rId16" /><Relationship Type="http://schemas.openxmlformats.org/officeDocument/2006/relationships/hyperlink" Target="https://www.zoom.com.br/fone-de-ouvido-e-headset/headphone-com-microfone-jbl-tune-500" TargetMode="External" Id="rId17" /><Relationship Type="http://schemas.openxmlformats.org/officeDocument/2006/relationships/hyperlink" Target="https://www.mercadolivre.com.br/luz-de-video-led-diurna-aputure-amaran-200d-s-200w-5600k/p/MLB2001538692" TargetMode="External" Id="rId18" /><Relationship Type="http://schemas.openxmlformats.org/officeDocument/2006/relationships/hyperlink" Target="https://www.amazon.com.br/Softbox-Octabox-Triopo-K2-120-Encaixe/dp/B0DY5SGMB4" TargetMode="External" Id="rId19" /><Relationship Type="http://schemas.openxmlformats.org/officeDocument/2006/relationships/hyperlink" Target="https://www.amazon.com.br/Trip%C3%A9-Girafa-Ilumina%C3%A7%C3%A3o-C-Stand-330cm/dp/B0FH7P78NW" TargetMode="External" Id="rId20" /><Relationship Type="http://schemas.openxmlformats.org/officeDocument/2006/relationships/hyperlink" Target="https://lista.mercadolivre.com.br/saco-de-areia-tripe" TargetMode="External" Id="rId21" /><Relationship Type="http://schemas.openxmlformats.org/officeDocument/2006/relationships/hyperlink" Target="https://www.amazon.com.br/Bast%C3%A3o-Yongnuo-YN360-Video-Bivolt/dp/B07TDN2HRS" TargetMode="External" Id="rId22" /><Relationship Type="http://schemas.openxmlformats.org/officeDocument/2006/relationships/hyperlink" Target="https://www.amazon.com.br/Trip%C3%A9-Ilumina%C3%A7%C3%A3o-Greika-00-PK-SB03/dp/B07XLTYY6F" TargetMode="External" Id="rId23" /><Relationship Type="http://schemas.openxmlformats.org/officeDocument/2006/relationships/hyperlink" Target="https://www.magazineluiza.com.br/bateria-digital-video-sony-np-f970-greika/p/hgc922h285/cf/bpfi/" TargetMode="External" Id="rId24" /><Relationship Type="http://schemas.openxmlformats.org/officeDocument/2006/relationships/hyperlink" Target="https://www.magazineluiza.com.br/carregador-de-bateria-sony-e-similares-np-f970-tudoprafoto/p/6041920/cf/bpfi/" TargetMode="External" Id="rId25" /><Relationship Type="http://schemas.openxmlformats.org/officeDocument/2006/relationships/hyperlink" Target="https://www.amazon.com.br/ULANZI-libera%C3%A7%C3%A3o-port%C3%A1til-telefone-grava%C3%A7%C3%A3o/dp/B0F5WSY485" TargetMode="External" Id="rId26" /><Relationship Type="http://schemas.openxmlformats.org/officeDocument/2006/relationships/hyperlink" Target="https://www.amazon.com.br/Mesa-Dobr%C3%A1vel-Alum%C3%ADnio-695838-Palisad/dp/B0777QNWGL" TargetMode="External" Id="rId27" /><Relationship Type="http://schemas.openxmlformats.org/officeDocument/2006/relationships/hyperlink" Target="https://www.kabum.com.br/produto/616087/filtro-de-linha-dps-iclamper-energia-8-8-tomadas-bivolt-preto-26775" TargetMode="External" Id="rId28" /><Relationship Type="http://schemas.openxmlformats.org/officeDocument/2006/relationships/hyperlink" Target="https://www.amazon.com.br/Tramontina-Extens%C3%A3o-M%C3%BAltipla-Tomadas-250/dp/B076X58SD9" TargetMode="External" Id="rId29" /><Relationship Type="http://schemas.openxmlformats.org/officeDocument/2006/relationships/hyperlink" Target="https://www.macswitch.com.br/products/macbook-pro-m1-pro-14" TargetMode="External" Id="rId30" /><Relationship Type="http://schemas.openxmlformats.org/officeDocument/2006/relationships/hyperlink" Target="https://www.kabum.com.br/produto/1005358/hd-externo-portatil-seagate-expansion-4tb-2-5-usb-3-0-preto-stgx4000400" TargetMode="External" Id="rId31" /><Relationship Type="http://schemas.openxmlformats.org/officeDocument/2006/relationships/hyperlink" Target="https://www.kabum.com.br/produto/513298/ssd-externo-sandisk-2tb-800mbs-usb-portatil-grafite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6" customWidth="1" min="3" max="3"/>
    <col width="14" customWidth="1" min="4" max="4"/>
    <col width="15" customWidth="1" min="5" max="5"/>
    <col width="14" customWidth="1" min="6" max="6"/>
    <col width="15" customWidth="1" min="7" max="7"/>
    <col width="30" customWidth="1" min="8" max="8"/>
    <col width="40" customWidth="1" min="9" max="9"/>
    <col width="58" customWidth="1" min="10" max="10"/>
  </cols>
  <sheetData>
    <row r="1">
      <c r="A1" s="1" t="inlineStr">
        <is>
          <t>Orçamento de equipamentos · produção EJUP</t>
        </is>
      </c>
    </row>
    <row r="2">
      <c r="A2" s="2" t="inlineStr">
        <is>
          <t>Preços de produtos novos em lojas brasileiras, pesquisados em 09/10/2026. Preços mudam todo dia: conferir vendedor, garantia e estoque antes de fechar.</t>
        </is>
      </c>
    </row>
    <row r="3">
      <c r="A3" s="3" t="inlineStr">
        <is>
          <t>Azul: quantidade e preços, que podem ser editados. Preto: fórmulas.</t>
        </is>
      </c>
    </row>
    <row r="5" ht="30" customHeight="1">
      <c r="A5" s="4" t="inlineStr">
        <is>
          <t>Categoria</t>
        </is>
      </c>
      <c r="B5" s="4" t="inlineStr">
        <is>
          <t>Item</t>
        </is>
      </c>
      <c r="C5" s="4" t="inlineStr">
        <is>
          <t>Qtd</t>
        </is>
      </c>
      <c r="D5" s="4" t="inlineStr">
        <is>
          <t>Preço médio (R$)</t>
        </is>
      </c>
      <c r="E5" s="4" t="inlineStr">
        <is>
          <t>Subtotal médio (R$)</t>
        </is>
      </c>
      <c r="F5" s="4" t="inlineStr">
        <is>
          <t>Menor preço visto (R$)</t>
        </is>
      </c>
      <c r="G5" s="4" t="inlineStr">
        <is>
          <t>Subtotal menor (R$)</t>
        </is>
      </c>
      <c r="H5" s="4" t="inlineStr">
        <is>
          <t>Onde comprar</t>
        </is>
      </c>
      <c r="I5" s="4" t="inlineStr">
        <is>
          <t>Link</t>
        </is>
      </c>
      <c r="J5" s="4" t="inlineStr">
        <is>
          <t>Observação</t>
        </is>
      </c>
    </row>
    <row r="6">
      <c r="A6" s="5" t="inlineStr">
        <is>
          <t>Câmeras e lentes</t>
        </is>
      </c>
      <c r="B6" s="5" t="inlineStr">
        <is>
          <t>Sony FX30 (corpo)</t>
        </is>
      </c>
      <c r="C6" s="6" t="n">
        <v>2</v>
      </c>
      <c r="D6" s="7" t="n">
        <v>10800</v>
      </c>
      <c r="E6" s="8">
        <f>C6*D6</f>
        <v>21600</v>
      </c>
      <c r="F6" s="7" t="n">
        <v>9774</v>
      </c>
      <c r="G6" s="8">
        <f>C6*F6</f>
        <v>19548</v>
      </c>
      <c r="H6" s="5" t="inlineStr">
        <is>
          <t>Bella Photo (oficial, garantia Sony Brasil), KaBuM, Amazon</t>
        </is>
      </c>
      <c r="I6" s="9" t="inlineStr">
        <is>
          <t>https://www.bellaphoto.com.br/camera-sony-fx30-digital-cinema</t>
        </is>
      </c>
      <c r="J6" s="5" t="inlineStr">
        <is>
          <t>Na Bella: R$ 9.809 no Pix. No marketplace, garantia de 3 meses indica importação paralela.</t>
        </is>
      </c>
    </row>
    <row r="7">
      <c r="A7" s="5" t="inlineStr">
        <is>
          <t>Câmeras e lentes</t>
        </is>
      </c>
      <c r="B7" s="5" t="inlineStr">
        <is>
          <t>Sony A7 IV (corpo)</t>
        </is>
      </c>
      <c r="C7" s="6" t="n">
        <v>1</v>
      </c>
      <c r="D7" s="7" t="n">
        <v>14600</v>
      </c>
      <c r="E7" s="8">
        <f>C7*D7</f>
        <v>14600</v>
      </c>
      <c r="F7" s="7" t="n">
        <v>12579</v>
      </c>
      <c r="G7" s="8">
        <f>C7*F7</f>
        <v>12579</v>
      </c>
      <c r="H7" s="5" t="inlineStr">
        <is>
          <t>Horizon Play, KaBuM, Magalu</t>
        </is>
      </c>
      <c r="I7" s="9" t="inlineStr">
        <is>
          <t>https://www.horizonplay.com.br/produto/camera-digital-sony-a7-iv-ilce-7m4-33mp-3-0-lente-fe-28-70mm-oss-corpo-150843</t>
        </is>
      </c>
      <c r="J7" s="5" t="inlineStr">
        <is>
          <t>Está sumindo das lojas. A sucessora, A7 V, sai por R$ 16.199 no Pix na Bella Photo.</t>
        </is>
      </c>
    </row>
    <row r="8">
      <c r="A8" s="5" t="inlineStr">
        <is>
          <t>Câmeras e lentes</t>
        </is>
      </c>
      <c r="B8" s="5" t="inlineStr">
        <is>
          <t>Tamron 28-75mm f/2.8 Di III VXD G2 (Sony E)</t>
        </is>
      </c>
      <c r="C8" s="6" t="n">
        <v>2</v>
      </c>
      <c r="D8" s="7" t="n">
        <v>6100</v>
      </c>
      <c r="E8" s="8">
        <f>C8*D8</f>
        <v>12200</v>
      </c>
      <c r="F8" s="7" t="n">
        <v>5400</v>
      </c>
      <c r="G8" s="8">
        <f>C8*F8</f>
        <v>10800</v>
      </c>
      <c r="H8" s="5" t="inlineStr">
        <is>
          <t>Detona Shop, Bella Photo, Magalu</t>
        </is>
      </c>
      <c r="I8" s="9" t="inlineStr">
        <is>
          <t>https://www.bellaphoto.com.br/lente-tamron-28-75mm-f28-di-iii-vxd-g2-para-cameras-sony-e</t>
        </is>
      </c>
      <c r="J8" s="5" t="inlineStr">
        <is>
          <t>Detona informa garantia Tamron Brasil de 1 ano. Oferta da Amazon com garantia dos EUA é importada.</t>
        </is>
      </c>
    </row>
    <row r="9">
      <c r="A9" s="5" t="inlineStr">
        <is>
          <t>Câmeras e lentes</t>
        </is>
      </c>
      <c r="B9" s="5" t="inlineStr">
        <is>
          <t>Tamron 16-30mm f/2.8 Di III VXD G2 (Sony E), a lente aberta</t>
        </is>
      </c>
      <c r="C9" s="6" t="n">
        <v>1</v>
      </c>
      <c r="D9" s="7" t="n">
        <v>6200</v>
      </c>
      <c r="E9" s="8">
        <f>C9*D9</f>
        <v>6200</v>
      </c>
      <c r="F9" s="7" t="n">
        <v>5849</v>
      </c>
      <c r="G9" s="8">
        <f>C9*F9</f>
        <v>5849</v>
      </c>
      <c r="H9" s="5" t="inlineStr">
        <is>
          <t>Bella Photo</t>
        </is>
      </c>
      <c r="I9" s="9" t="inlineStr">
        <is>
          <t>https://www.bellaphoto.com.br/lente-tamron-16-30mm-f28-di-iii-vxd-g2-para-cameras-sony-e</t>
        </is>
      </c>
      <c r="J9" s="5" t="inlineStr">
        <is>
          <t>Substitui a 17-28 f/2.8, que saiu de linha. Custa cerca de R$ 450 a mais e é a sucessora direta.</t>
        </is>
      </c>
    </row>
    <row r="10">
      <c r="A10" s="5" t="inlineStr">
        <is>
          <t>Câmeras e lentes</t>
        </is>
      </c>
      <c r="B10" s="5" t="inlineStr">
        <is>
          <t>Bateria Sony NP-FZ100 original</t>
        </is>
      </c>
      <c r="C10" s="6" t="n">
        <v>3</v>
      </c>
      <c r="D10" s="7" t="n">
        <v>650</v>
      </c>
      <c r="E10" s="8">
        <f>C10*D10</f>
        <v>1950</v>
      </c>
      <c r="F10" s="7" t="n">
        <v>589</v>
      </c>
      <c r="G10" s="8">
        <f>C10*F10</f>
        <v>1767</v>
      </c>
      <c r="H10" s="5" t="inlineStr">
        <is>
          <t>Shop AV / Loja dos Marios, Bella Photo</t>
        </is>
      </c>
      <c r="I10" s="9" t="inlineStr">
        <is>
          <t>https://www.shop-av.com/bateria-sony-np-fz100-cameras-a7iii-a6600</t>
        </is>
      </c>
      <c r="J10" s="5" t="inlineStr">
        <is>
          <t>Serve nas três câmeras. Com as 3 que vêm nas caixas, ficam 6.</t>
        </is>
      </c>
    </row>
    <row r="11">
      <c r="A11" s="5" t="inlineStr">
        <is>
          <t>Câmeras e lentes</t>
        </is>
      </c>
      <c r="B11" s="5" t="inlineStr">
        <is>
          <t>Bateria falsa NP-FZ100 com fonte de tomada (bivolt)</t>
        </is>
      </c>
      <c r="C11" s="6" t="n">
        <v>3</v>
      </c>
      <c r="D11" s="7" t="n">
        <v>205</v>
      </c>
      <c r="E11" s="8">
        <f>C11*D11</f>
        <v>615</v>
      </c>
      <c r="F11" s="7" t="n">
        <v>172</v>
      </c>
      <c r="G11" s="8">
        <f>C11*F11</f>
        <v>516</v>
      </c>
      <c r="H11" s="5" t="inlineStr">
        <is>
          <t>WorldView, Amazon, Magalu</t>
        </is>
      </c>
      <c r="I11" s="9" t="inlineStr">
        <is>
          <t>https://www.worldview.com.br/adaptador-ac-pw20-com-acoplador-dc-np-fz100-para-bateria-sony-fz100-bivolt/p</t>
        </is>
      </c>
      <c r="J11" s="5" t="inlineStr">
        <is>
          <t>Para gravação longa sem trocar bateria. Testar dentro do prazo de troca: há relato de falha após atualização de firmware.</t>
        </is>
      </c>
    </row>
    <row r="12">
      <c r="A12" s="5" t="inlineStr">
        <is>
          <t>Câmeras e lentes</t>
        </is>
      </c>
      <c r="B12" s="5" t="inlineStr">
        <is>
          <t>Carregador duplo NP-FZ100 (SmallRig 4087)</t>
        </is>
      </c>
      <c r="C12" s="6" t="n">
        <v>1</v>
      </c>
      <c r="D12" s="7" t="n">
        <v>230</v>
      </c>
      <c r="E12" s="8">
        <f>C12*D12</f>
        <v>230</v>
      </c>
      <c r="F12" s="7" t="n">
        <v>123</v>
      </c>
      <c r="G12" s="8">
        <f>C12*F12</f>
        <v>123</v>
      </c>
      <c r="H12" s="5" t="inlineStr">
        <is>
          <t>Shop AV, Magalu</t>
        </is>
      </c>
      <c r="I12" s="9" t="inlineStr">
        <is>
          <t>https://www.shop-av.com/produto/smallrig-4087-carregador-de-bateria-sony-np-fz100.html</t>
        </is>
      </c>
      <c r="J12" s="5" t="inlineStr">
        <is>
          <t>Na Shop AV o prazo de entrega é de 20 dias úteis.</t>
        </is>
      </c>
    </row>
    <row r="13">
      <c r="A13" s="5" t="inlineStr">
        <is>
          <t>Câmeras e lentes</t>
        </is>
      </c>
      <c r="B13" s="5" t="inlineStr">
        <is>
          <t>Cartão SD Lexar 128 GB V90 UHS-II (2000x Gold)</t>
        </is>
      </c>
      <c r="C13" s="6" t="n">
        <v>3</v>
      </c>
      <c r="D13" s="7" t="n">
        <v>1050</v>
      </c>
      <c r="E13" s="8">
        <f>C13*D13</f>
        <v>3150</v>
      </c>
      <c r="F13" s="7" t="n">
        <v>750</v>
      </c>
      <c r="G13" s="8">
        <f>C13*F13</f>
        <v>2250</v>
      </c>
      <c r="H13" s="5" t="inlineStr">
        <is>
          <t>Shop AV, Amazon, Magalu</t>
        </is>
      </c>
      <c r="I13" s="9" t="inlineStr">
        <is>
          <t>https://www.shop-av.com/produto/cartao-de-memoria-sdxc-lexar-2000x-128-gb-v90-uhs-ii-300mbs.html</t>
        </is>
      </c>
      <c r="J13" s="5" t="inlineStr">
        <is>
          <t>V90 grava qualquer formato da FX30, inclusive o All-Intra. Preços muito baixos no marketplace pedem checagem do vendedor.</t>
        </is>
      </c>
    </row>
    <row r="14">
      <c r="A14" s="5" t="inlineStr">
        <is>
          <t>Câmeras e lentes</t>
        </is>
      </c>
      <c r="B14" s="5" t="inlineStr">
        <is>
          <t>Mattebox SmallRig Mini Matte Box Lite (3575)</t>
        </is>
      </c>
      <c r="C14" s="6" t="n">
        <v>1</v>
      </c>
      <c r="D14" s="7" t="n">
        <v>600</v>
      </c>
      <c r="E14" s="8">
        <f>C14*D14</f>
        <v>600</v>
      </c>
      <c r="F14" s="7" t="n">
        <v>600</v>
      </c>
      <c r="G14" s="8">
        <f>C14*F14</f>
        <v>600</v>
      </c>
      <c r="H14" s="5" t="inlineStr">
        <is>
          <t>Mercado Livre (compra internacional)</t>
        </is>
      </c>
      <c r="I14" s="9" t="inlineStr">
        <is>
          <t>https://lista.mercadolivre.com.br/matt-box</t>
        </is>
      </c>
      <c r="J14" s="5" t="inlineStr">
        <is>
          <t>Encaixa nas lentes de 67 mm com anel adaptador: confirmar se o anúncio traz o anel. Alternativa robusta: Tilta Mini MB-T15, R$ 1.100 a 1.183.</t>
        </is>
      </c>
    </row>
    <row r="15">
      <c r="A15" s="5" t="inlineStr">
        <is>
          <t>Áudio</t>
        </is>
      </c>
      <c r="B15" s="5" t="inlineStr">
        <is>
          <t>Hollyland Lark M3, kit 2 transmissores + 2 receptores</t>
        </is>
      </c>
      <c r="C15" s="6" t="n">
        <v>1</v>
      </c>
      <c r="D15" s="7" t="n">
        <v>999</v>
      </c>
      <c r="E15" s="8">
        <f>C15*D15</f>
        <v>999</v>
      </c>
      <c r="F15" s="7" t="n">
        <v>999</v>
      </c>
      <c r="G15" s="8">
        <f>C15*F15</f>
        <v>999</v>
      </c>
      <c r="H15" s="5" t="inlineStr">
        <is>
          <t>Amazon (único lugar com estoque)</t>
        </is>
      </c>
      <c r="I15" s="9" t="inlineStr">
        <is>
          <t>https://www.amazon.com.br/hollyland-lark/s?k=hollyland+lark</t>
        </is>
      </c>
      <c r="J15" s="5" t="inlineStr">
        <is>
          <t>O kit de 1 receptor só tem receptor USB-C e não liga na câmera. Por isso o de 2 receptores.</t>
        </is>
      </c>
    </row>
    <row r="16">
      <c r="A16" s="5" t="inlineStr">
        <is>
          <t>Áudio</t>
        </is>
      </c>
      <c r="B16" s="5" t="inlineStr">
        <is>
          <t>Zoom PodTrak P4 (ou P4next)</t>
        </is>
      </c>
      <c r="C16" s="6" t="n">
        <v>1</v>
      </c>
      <c r="D16" s="7" t="n">
        <v>1500</v>
      </c>
      <c r="E16" s="8">
        <f>C16*D16</f>
        <v>1500</v>
      </c>
      <c r="F16" s="7" t="n">
        <v>1199</v>
      </c>
      <c r="G16" s="8">
        <f>C16*F16</f>
        <v>1199</v>
      </c>
      <c r="H16" s="5" t="inlineStr">
        <is>
          <t>Mercado Livre, Amazon, Magalu</t>
        </is>
      </c>
      <c r="I16" s="9" t="inlineStr">
        <is>
          <t>https://www.mercadolivre.com.br/gravador-de-podcast-multifaixa-portatil-zoom-podtrak-p4-cor-cinza/p/MLB27949896</t>
        </is>
      </c>
      <c r="J16" s="5" t="inlineStr">
        <is>
          <t>O P4 está saindo de linha. O P4next (R$ 1.443 na Amazon) grava em 24 bits, mas usa microSD e fonte de 5V/2,4A.</t>
        </is>
      </c>
    </row>
    <row r="17">
      <c r="A17" s="5" t="inlineStr">
        <is>
          <t>Áudio</t>
        </is>
      </c>
      <c r="B17" s="5" t="inlineStr">
        <is>
          <t>Fonte USB 5V com cabo USB-C (para o gravador)</t>
        </is>
      </c>
      <c r="C17" s="6" t="n">
        <v>1</v>
      </c>
      <c r="D17" s="7" t="n">
        <v>55</v>
      </c>
      <c r="E17" s="8">
        <f>C17*D17</f>
        <v>55</v>
      </c>
      <c r="F17" s="7" t="n">
        <v>37</v>
      </c>
      <c r="G17" s="8">
        <f>C17*F17</f>
        <v>37</v>
      </c>
      <c r="H17" s="5" t="inlineStr">
        <is>
          <t>Mercado Livre, Amazon</t>
        </is>
      </c>
      <c r="I17" s="9" t="inlineStr">
        <is>
          <t>https://lista.mercadolivre.com.br/fonte-5v-2a-usb-c</t>
        </is>
      </c>
      <c r="J17" s="5" t="inlineStr">
        <is>
          <t>O P4 vem sem cabo. Preferir marca conhecida para não gerar ruído. Para o P4next, 5V/2,4A.</t>
        </is>
      </c>
    </row>
    <row r="18">
      <c r="A18" s="5" t="inlineStr">
        <is>
          <t>Áudio</t>
        </is>
      </c>
      <c r="B18" s="5" t="inlineStr">
        <is>
          <t>Cartão SD Lexar 64 GB V30 (para o gravador)</t>
        </is>
      </c>
      <c r="C18" s="6" t="n">
        <v>1</v>
      </c>
      <c r="D18" s="7" t="n">
        <v>150</v>
      </c>
      <c r="E18" s="8">
        <f>C18*D18</f>
        <v>150</v>
      </c>
      <c r="F18" s="7" t="n">
        <v>107</v>
      </c>
      <c r="G18" s="8">
        <f>C18*F18</f>
        <v>107</v>
      </c>
      <c r="H18" s="5" t="inlineStr">
        <is>
          <t>Mercado Livre, KaBuM, Amazon</t>
        </is>
      </c>
      <c r="I18" s="9" t="inlineStr">
        <is>
          <t>https://www.mercadolivre.com.br/carto-de-memoria-lexar-sd-xc-64gb-150mbs-uhs-i-v30-pro/p/MLB37831026</t>
        </is>
      </c>
      <c r="J18" s="5" t="inlineStr">
        <is>
          <t>O P4 usa SD de tamanho normal. Se for o P4next, trocar por microSD do mesmo tamanho.</t>
        </is>
      </c>
    </row>
    <row r="19">
      <c r="A19" s="5" t="inlineStr">
        <is>
          <t>Áudio</t>
        </is>
      </c>
      <c r="B19" s="5" t="inlineStr">
        <is>
          <t>Microfone dinâmico Fifine K688 (XLR/USB)</t>
        </is>
      </c>
      <c r="C19" s="6" t="n">
        <v>4</v>
      </c>
      <c r="D19" s="7" t="n">
        <v>470</v>
      </c>
      <c r="E19" s="8">
        <f>C19*D19</f>
        <v>1880</v>
      </c>
      <c r="F19" s="7" t="n">
        <v>390</v>
      </c>
      <c r="G19" s="8">
        <f>C19*F19</f>
        <v>1560</v>
      </c>
      <c r="H19" s="5" t="inlineStr">
        <is>
          <t>Pichau, Terabyte, KaBuM</t>
        </is>
      </c>
      <c r="I19" s="9" t="inlineStr">
        <is>
          <t>https://www.kabum.com.br/produto/435116/microfone-dinamico-fifine-k688-usb-xlr-preto</t>
        </is>
      </c>
      <c r="J19" s="5" t="inlineStr">
        <is>
          <t>No lugar do BM-800: capta menos o som da sala. Alternativas: Samson Q2U (~R$ 780, já com cabo) ou Shure SM58 (~R$ 1.100).</t>
        </is>
      </c>
    </row>
    <row r="20">
      <c r="A20" s="5" t="inlineStr">
        <is>
          <t>Áudio</t>
        </is>
      </c>
      <c r="B20" s="5" t="inlineStr">
        <is>
          <t>Braço articulado de mesa Fifine BM88</t>
        </is>
      </c>
      <c r="C20" s="6" t="n">
        <v>4</v>
      </c>
      <c r="D20" s="7" t="n">
        <v>300</v>
      </c>
      <c r="E20" s="8">
        <f>C20*D20</f>
        <v>1200</v>
      </c>
      <c r="F20" s="7" t="n">
        <v>260</v>
      </c>
      <c r="G20" s="8">
        <f>C20*F20</f>
        <v>1040</v>
      </c>
      <c r="H20" s="5" t="inlineStr">
        <is>
          <t>Pichau, Terabyte, KaBuM</t>
        </is>
      </c>
      <c r="I20" s="9" t="inlineStr">
        <is>
          <t>https://www.pichau.com.br/braco-articulado-para-microfone-fifine-bm88-preto-bm88-blk</t>
        </is>
      </c>
      <c r="J20" s="5" t="inlineStr">
        <is>
          <t>Aguenta 1,5 kg, perfil baixo.</t>
        </is>
      </c>
    </row>
    <row r="21">
      <c r="A21" s="5" t="inlineStr">
        <is>
          <t>Áudio</t>
        </is>
      </c>
      <c r="B21" s="5" t="inlineStr">
        <is>
          <t>Cabo XLR macho-fêmea 3 m (Santo Angelo)</t>
        </is>
      </c>
      <c r="C21" s="6" t="n">
        <v>4</v>
      </c>
      <c r="D21" s="7" t="n">
        <v>60</v>
      </c>
      <c r="E21" s="8">
        <f>C21*D21</f>
        <v>240</v>
      </c>
      <c r="F21" s="7" t="n">
        <v>46</v>
      </c>
      <c r="G21" s="8">
        <f>C21*F21</f>
        <v>184</v>
      </c>
      <c r="H21" s="5" t="inlineStr">
        <is>
          <t>Amazon, Magalu, Mercado Livre</t>
        </is>
      </c>
      <c r="I21" s="9" t="inlineStr">
        <is>
          <t>https://www.amazon.com.br/MICROFONE-CONECTOR-MACHO-FEMEA-METROS/dp/B076N55W36</t>
        </is>
      </c>
      <c r="J21" s="5" t="inlineStr">
        <is>
          <t>Se o microfone escolhido for o Samson Q2U, não precisa: ele já vem com cabo.</t>
        </is>
      </c>
    </row>
    <row r="22">
      <c r="A22" s="5" t="inlineStr">
        <is>
          <t>Áudio</t>
        </is>
      </c>
      <c r="B22" s="5" t="inlineStr">
        <is>
          <t>Fone JBL Tune 500 com fio</t>
        </is>
      </c>
      <c r="C22" s="6" t="n">
        <v>1</v>
      </c>
      <c r="D22" s="7" t="n">
        <v>135</v>
      </c>
      <c r="E22" s="8">
        <f>C22*D22</f>
        <v>135</v>
      </c>
      <c r="F22" s="7" t="n">
        <v>116</v>
      </c>
      <c r="G22" s="8">
        <f>C22*F22</f>
        <v>116</v>
      </c>
      <c r="H22" s="5" t="inlineStr">
        <is>
          <t>Mercado Livre, Amazon, KaBuM</t>
        </is>
      </c>
      <c r="I22" s="9" t="inlineStr">
        <is>
          <t>https://www.zoom.com.br/fone-de-ouvido-e-headset/headphone-com-microfone-jbl-tune-500</t>
        </is>
      </c>
      <c r="J22" s="5" t="inlineStr">
        <is>
          <t>Com fio, para ouvir o gravador sem atraso. Versão sem fio (Tune 500BT) não serve para monitorar.</t>
        </is>
      </c>
    </row>
    <row r="23">
      <c r="A23" s="5" t="inlineStr">
        <is>
          <t>Iluminação</t>
        </is>
      </c>
      <c r="B23" s="5" t="inlineStr">
        <is>
          <t>Amaran 200d S (no lugar do Aputure LS 120D II)</t>
        </is>
      </c>
      <c r="C23" s="6" t="n">
        <v>1</v>
      </c>
      <c r="D23" s="7" t="n">
        <v>3100</v>
      </c>
      <c r="E23" s="8">
        <f>C23*D23</f>
        <v>3100</v>
      </c>
      <c r="F23" s="7" t="n">
        <v>2662</v>
      </c>
      <c r="G23" s="8">
        <f>C23*F23</f>
        <v>2662</v>
      </c>
      <c r="H23" s="5" t="inlineStr">
        <is>
          <t>Mercado Livre, Amazon</t>
        </is>
      </c>
      <c r="I23" s="9" t="inlineStr">
        <is>
          <t>https://www.mercadolivre.com.br/luz-de-video-led-diurna-aputure-amaran-200d-s-200w-5600k/p/MLB2001538692</t>
        </is>
      </c>
      <c r="J23" s="5" t="inlineStr">
        <is>
          <t>O 120D II saiu de linha. O 200d S tem encaixe Bowens e mais potência. Preferir anúncio com nota fiscal.</t>
        </is>
      </c>
    </row>
    <row r="24">
      <c r="A24" s="5" t="inlineStr">
        <is>
          <t>Iluminação</t>
        </is>
      </c>
      <c r="B24" s="5" t="inlineStr">
        <is>
          <t>Octabox Triopo K2-120 (120 cm) com colmeia, encaixe Bowens</t>
        </is>
      </c>
      <c r="C24" s="6" t="n">
        <v>1</v>
      </c>
      <c r="D24" s="7" t="n">
        <v>640</v>
      </c>
      <c r="E24" s="8">
        <f>C24*D24</f>
        <v>640</v>
      </c>
      <c r="F24" s="7" t="n">
        <v>497</v>
      </c>
      <c r="G24" s="8">
        <f>C24*F24</f>
        <v>497</v>
      </c>
      <c r="H24" s="5" t="inlineStr">
        <is>
          <t>Amazon, Mercado Livre, Shopee</t>
        </is>
      </c>
      <c r="I24" s="9" t="inlineStr">
        <is>
          <t>https://www.amazon.com.br/Softbox-Octabox-Triopo-K2-120-Encaixe/dp/B0DY5SGMB4</t>
        </is>
      </c>
      <c r="J24" s="5" t="inlineStr">
        <is>
          <t>O kit da Amazon traz 2 difusores, colmeia e bolsa. Há anúncios sem colmeia: conferir.</t>
        </is>
      </c>
    </row>
    <row r="25">
      <c r="A25" s="5" t="inlineStr">
        <is>
          <t>Iluminação</t>
        </is>
      </c>
      <c r="B25" s="5" t="inlineStr">
        <is>
          <t>Tripé com girafa Greika CS-330 (C-stand)</t>
        </is>
      </c>
      <c r="C25" s="6" t="n">
        <v>1</v>
      </c>
      <c r="D25" s="7" t="n">
        <v>1000</v>
      </c>
      <c r="E25" s="8">
        <f>C25*D25</f>
        <v>1000</v>
      </c>
      <c r="F25" s="7" t="n">
        <v>999</v>
      </c>
      <c r="G25" s="8">
        <f>C25*F25</f>
        <v>999</v>
      </c>
      <c r="H25" s="5" t="inlineStr">
        <is>
          <t>Amazon, Magalu, Mercado Livre</t>
        </is>
      </c>
      <c r="I25" s="9" t="inlineStr">
        <is>
          <t>https://www.amazon.com.br/Trip%C3%A9-Girafa-Ilumina%C3%A7%C3%A3o-C-Stand-330cm/dp/B0FH7P78NW</t>
        </is>
      </c>
      <c r="J25" s="5" t="inlineStr">
        <is>
          <t>Carga de 10 kg com a haste. É o que segura a luz e o octabox sobre a mesa.</t>
        </is>
      </c>
    </row>
    <row r="26">
      <c r="A26" s="5" t="inlineStr">
        <is>
          <t>Iluminação</t>
        </is>
      </c>
      <c r="B26" s="5" t="inlineStr">
        <is>
          <t>Saco de areia para tripé</t>
        </is>
      </c>
      <c r="C26" s="6" t="n">
        <v>2</v>
      </c>
      <c r="D26" s="7" t="n">
        <v>65</v>
      </c>
      <c r="E26" s="8">
        <f>C26*D26</f>
        <v>130</v>
      </c>
      <c r="F26" s="7" t="n">
        <v>31</v>
      </c>
      <c r="G26" s="8">
        <f>C26*F26</f>
        <v>62</v>
      </c>
      <c r="H26" s="5" t="inlineStr">
        <is>
          <t>Mercado Livre, Amazon</t>
        </is>
      </c>
      <c r="I26" s="9" t="inlineStr">
        <is>
          <t>https://lista.mercadolivre.com.br/saco-de-areia-tripe</t>
        </is>
      </c>
      <c r="J26" s="5" t="inlineStr">
        <is>
          <t>Em geral vem vazio. Segurança da luz pendurada sobre a mesa.</t>
        </is>
      </c>
    </row>
    <row r="27">
      <c r="A27" s="5" t="inlineStr">
        <is>
          <t>Iluminação</t>
        </is>
      </c>
      <c r="B27" s="5" t="inlineStr">
        <is>
          <t>Bastão LED Yongnuo YN360 III, kit com fonte 12V</t>
        </is>
      </c>
      <c r="C27" s="6" t="n">
        <v>1</v>
      </c>
      <c r="D27" s="7" t="n">
        <v>680</v>
      </c>
      <c r="E27" s="8">
        <f>C27*D27</f>
        <v>680</v>
      </c>
      <c r="F27" s="7" t="n">
        <v>646</v>
      </c>
      <c r="G27" s="8">
        <f>C27*F27</f>
        <v>646</v>
      </c>
      <c r="H27" s="5" t="inlineStr">
        <is>
          <t>Amazon</t>
        </is>
      </c>
      <c r="I27" s="9" t="inlineStr">
        <is>
          <t>https://www.amazon.com.br/Bast%C3%A3o-Yongnuo-YN360-Video-Bivolt/dp/B07TDN2HRS</t>
        </is>
      </c>
      <c r="J27" s="5" t="inlineStr">
        <is>
          <t>O kit com fonte sai mais barato que bastão e fonte separados. Usa 1 bateria NP-F.</t>
        </is>
      </c>
    </row>
    <row r="28">
      <c r="A28" s="5" t="inlineStr">
        <is>
          <t>Iluminação</t>
        </is>
      </c>
      <c r="B28" s="5" t="inlineStr">
        <is>
          <t>Tripé de luz simples Greika (cerca de 2 m)</t>
        </is>
      </c>
      <c r="C28" s="6" t="n">
        <v>1</v>
      </c>
      <c r="D28" s="7" t="n">
        <v>90</v>
      </c>
      <c r="E28" s="8">
        <f>C28*D28</f>
        <v>90</v>
      </c>
      <c r="F28" s="7" t="n">
        <v>49</v>
      </c>
      <c r="G28" s="8">
        <f>C28*F28</f>
        <v>49</v>
      </c>
      <c r="H28" s="5" t="inlineStr">
        <is>
          <t>Mercado Livre, Amazon</t>
        </is>
      </c>
      <c r="I28" s="9" t="inlineStr">
        <is>
          <t>https://www.amazon.com.br/Trip%C3%A9-Ilumina%C3%A7%C3%A3o-Greika-00-PK-SB03/dp/B07XLTYY6F</t>
        </is>
      </c>
      <c r="J28" s="5" t="inlineStr">
        <is>
          <t>Para o bastão.</t>
        </is>
      </c>
    </row>
    <row r="29">
      <c r="A29" s="5" t="inlineStr">
        <is>
          <t>Iluminação</t>
        </is>
      </c>
      <c r="B29" s="5" t="inlineStr">
        <is>
          <t>Bateria NP-F970 (Greika ou Tudoprafoto)</t>
        </is>
      </c>
      <c r="C29" s="6" t="n">
        <v>2</v>
      </c>
      <c r="D29" s="7" t="n">
        <v>220</v>
      </c>
      <c r="E29" s="8">
        <f>C29*D29</f>
        <v>440</v>
      </c>
      <c r="F29" s="7" t="n">
        <v>142</v>
      </c>
      <c r="G29" s="8">
        <f>C29*F29</f>
        <v>284</v>
      </c>
      <c r="H29" s="5" t="inlineStr">
        <is>
          <t>Amazon, Magalu</t>
        </is>
      </c>
      <c r="I29" s="9" t="inlineStr">
        <is>
          <t>https://www.magazineluiza.com.br/bateria-digital-video-sony-np-f970-greika/p/hgc922h285/cf/bpfi/</t>
        </is>
      </c>
      <c r="J29" s="5" t="inlineStr">
        <is>
          <t>Para o bastão. Opção premium: SmallRig com USB-C, cerca de R$ 900.</t>
        </is>
      </c>
    </row>
    <row r="30">
      <c r="A30" s="5" t="inlineStr">
        <is>
          <t>Iluminação</t>
        </is>
      </c>
      <c r="B30" s="5" t="inlineStr">
        <is>
          <t>Carregador para bateria NP-F</t>
        </is>
      </c>
      <c r="C30" s="6" t="n">
        <v>1</v>
      </c>
      <c r="D30" s="7" t="n">
        <v>120</v>
      </c>
      <c r="E30" s="8">
        <f>C30*D30</f>
        <v>120</v>
      </c>
      <c r="F30" s="7" t="n">
        <v>76</v>
      </c>
      <c r="G30" s="8">
        <f>C30*F30</f>
        <v>76</v>
      </c>
      <c r="H30" s="5" t="inlineStr">
        <is>
          <t>Magalu, Mercado Livre</t>
        </is>
      </c>
      <c r="I30" s="9" t="inlineStr">
        <is>
          <t>https://www.magazineluiza.com.br/carregador-de-bateria-sony-e-similares-np-f970-tudoprafoto/p/6041920/cf/bpfi/</t>
        </is>
      </c>
      <c r="J30" s="5" t="inlineStr">
        <is>
          <t>Carregador duplo SmallRig: cerca de R$ 208.</t>
        </is>
      </c>
    </row>
    <row r="31">
      <c r="A31" s="5" t="inlineStr">
        <is>
          <t>Suporte e energia</t>
        </is>
      </c>
      <c r="B31" s="5" t="inlineStr">
        <is>
          <t>Tripé de vídeo Ulanzi Ombra Video II (T154), cabeça fluida</t>
        </is>
      </c>
      <c r="C31" s="6" t="n">
        <v>3</v>
      </c>
      <c r="D31" s="7" t="n">
        <v>600</v>
      </c>
      <c r="E31" s="8">
        <f>C31*D31</f>
        <v>1800</v>
      </c>
      <c r="F31" s="7" t="n">
        <v>575</v>
      </c>
      <c r="G31" s="8">
        <f>C31*F31</f>
        <v>1725</v>
      </c>
      <c r="H31" s="5" t="inlineStr">
        <is>
          <t>Amazon, loja oficial Ulanzi no Mercado Livre</t>
        </is>
      </c>
      <c r="I31" s="9" t="inlineStr">
        <is>
          <t>https://www.amazon.com.br/ULANZI-libera%C3%A7%C3%A3o-port%C3%A1til-telefone-grava%C3%A7%C3%A3o/dp/B0F5WSY485</t>
        </is>
      </c>
      <c r="J31" s="5" t="inlineStr">
        <is>
          <t>Carga de 3 kg, 157 cm. Para mais folga: Ulanzi MT-56 (6 kg), cerca de R$ 800.</t>
        </is>
      </c>
    </row>
    <row r="32">
      <c r="A32" s="5" t="inlineStr">
        <is>
          <t>Suporte e energia</t>
        </is>
      </c>
      <c r="B32" s="5" t="inlineStr">
        <is>
          <t>Mesa dobrável portátil tipo maleta (alumínio)</t>
        </is>
      </c>
      <c r="C32" s="6" t="n">
        <v>1</v>
      </c>
      <c r="D32" s="7" t="n">
        <v>160</v>
      </c>
      <c r="E32" s="8">
        <f>C32*D32</f>
        <v>160</v>
      </c>
      <c r="F32" s="7" t="n">
        <v>107</v>
      </c>
      <c r="G32" s="8">
        <f>C32*F32</f>
        <v>107</v>
      </c>
      <c r="H32" s="5" t="inlineStr">
        <is>
          <t>Mercado Livre, Amazon, Leroy Merlin</t>
        </is>
      </c>
      <c r="I32" s="9" t="inlineStr">
        <is>
          <t>https://www.amazon.com.br/Mesa-Dobr%C3%A1vel-Alum%C3%ADnio-695838-Palisad/dp/B0777QNWGL</t>
        </is>
      </c>
      <c r="J32" s="5" t="inlineStr">
        <is>
          <t>Tamanhos de 60x45 a 120x60 cm.</t>
        </is>
      </c>
    </row>
    <row r="33">
      <c r="A33" s="5" t="inlineStr">
        <is>
          <t>Suporte e energia</t>
        </is>
      </c>
      <c r="B33" s="5" t="inlineStr">
        <is>
          <t>Filtro de linha iClamper Energia 8 tomadas</t>
        </is>
      </c>
      <c r="C33" s="6" t="n">
        <v>2</v>
      </c>
      <c r="D33" s="7" t="n">
        <v>105</v>
      </c>
      <c r="E33" s="8">
        <f>C33*D33</f>
        <v>210</v>
      </c>
      <c r="F33" s="7" t="n">
        <v>94</v>
      </c>
      <c r="G33" s="8">
        <f>C33*F33</f>
        <v>188</v>
      </c>
      <c r="H33" s="5" t="inlineStr">
        <is>
          <t>KaBuM, Terabyte, Pichau</t>
        </is>
      </c>
      <c r="I33" s="9" t="inlineStr">
        <is>
          <t>https://www.kabum.com.br/produto/616087/filtro-de-linha-dps-iclamper-energia-8-8-tomadas-bivolt-preto-26775</t>
        </is>
      </c>
      <c r="J33" s="5" t="inlineStr">
        <is>
          <t>Com proteção contra surto.</t>
        </is>
      </c>
    </row>
    <row r="34">
      <c r="A34" s="5" t="inlineStr">
        <is>
          <t>Suporte e energia</t>
        </is>
      </c>
      <c r="B34" s="5" t="inlineStr">
        <is>
          <t>Extensão elétrica 5 m, 3 tomadas</t>
        </is>
      </c>
      <c r="C34" s="6" t="n">
        <v>2</v>
      </c>
      <c r="D34" s="7" t="n">
        <v>57</v>
      </c>
      <c r="E34" s="8">
        <f>C34*D34</f>
        <v>114</v>
      </c>
      <c r="F34" s="7" t="n">
        <v>51</v>
      </c>
      <c r="G34" s="8">
        <f>C34*F34</f>
        <v>102</v>
      </c>
      <c r="H34" s="5" t="inlineStr">
        <is>
          <t>Amazon, Leroy Merlin, Magalu</t>
        </is>
      </c>
      <c r="I34" s="9" t="inlineStr">
        <is>
          <t>https://www.amazon.com.br/Tramontina-Extens%C3%A3o-M%C3%BAltipla-Tomadas-250/dp/B076X58SD9</t>
        </is>
      </c>
      <c r="J34" s="5" t="inlineStr">
        <is>
          <t>Para várias cargas, preferir cabo de 1,0 mm² ou mais.</t>
        </is>
      </c>
    </row>
    <row r="35">
      <c r="A35" s="5" t="inlineStr">
        <is>
          <t>Edição</t>
        </is>
      </c>
      <c r="B35" s="5" t="inlineStr">
        <is>
          <t>MacBook Pro 14" M1 Pro, 16 GB, 512 GB, usado em ótimo estado</t>
        </is>
      </c>
      <c r="C35" s="6" t="n">
        <v>1</v>
      </c>
      <c r="D35" s="7" t="n">
        <v>7100</v>
      </c>
      <c r="E35" s="8">
        <f>C35*D35</f>
        <v>7100</v>
      </c>
      <c r="F35" s="7" t="n">
        <v>5880</v>
      </c>
      <c r="G35" s="8">
        <f>C35*F35</f>
        <v>5880</v>
      </c>
      <c r="H35" s="5" t="inlineStr">
        <is>
          <t>Mac Switch e GGImports (seminovo com garantia); OLX e Mercado Livre (particular)</t>
        </is>
      </c>
      <c r="I35" s="9" t="inlineStr">
        <is>
          <t>https://www.macswitch.com.br/products/macbook-pro-m1-pro-14</t>
        </is>
      </c>
      <c r="J35" s="5" t="inlineStr">
        <is>
          <t>Seminovo com garantia de loja: R$ 6.900 a 7.500. Particular: R$ 5.000 a 9.500, sem garantia. Conferir saúde da bateria, ciclos, conta Apple desvinculada e carregador original.</t>
        </is>
      </c>
    </row>
    <row r="36">
      <c r="A36" s="5" t="inlineStr">
        <is>
          <t>Edição</t>
        </is>
      </c>
      <c r="B36" s="5" t="inlineStr">
        <is>
          <t>HD externo Seagate Expansion 4 TB (USB 3.0)</t>
        </is>
      </c>
      <c r="C36" s="6" t="n">
        <v>1</v>
      </c>
      <c r="D36" s="7" t="n">
        <v>1190</v>
      </c>
      <c r="E36" s="8">
        <f>C36*D36</f>
        <v>1190</v>
      </c>
      <c r="F36" s="7" t="n">
        <v>1115</v>
      </c>
      <c r="G36" s="8">
        <f>C36*F36</f>
        <v>1115</v>
      </c>
      <c r="H36" s="5" t="inlineStr">
        <is>
          <t>KaBuM, Amazon</t>
        </is>
      </c>
      <c r="I36" s="9" t="inlineStr">
        <is>
          <t>https://www.kabum.com.br/produto/1005358/hd-externo-portatil-seagate-expansion-4tb-2-5-usb-3-0-preto-stgx4000400</t>
        </is>
      </c>
      <c r="J36" s="5" t="inlineStr">
        <is>
          <t>Para arquivo e backup. Para editar direto, o SSD é melhor.</t>
        </is>
      </c>
    </row>
    <row r="37">
      <c r="A37" s="5" t="inlineStr">
        <is>
          <t>Edição</t>
        </is>
      </c>
      <c r="B37" s="5" t="inlineStr">
        <is>
          <t>SSD externo SanDisk Portable 2 TB (800 MB/s, USB-C)</t>
        </is>
      </c>
      <c r="C37" s="6" t="n">
        <v>1</v>
      </c>
      <c r="D37" s="7" t="n">
        <v>1900</v>
      </c>
      <c r="E37" s="8">
        <f>C37*D37</f>
        <v>1900</v>
      </c>
      <c r="F37" s="7" t="n">
        <v>1859</v>
      </c>
      <c r="G37" s="8">
        <f>C37*F37</f>
        <v>1859</v>
      </c>
      <c r="H37" s="5" t="inlineStr">
        <is>
          <t>KaBuM</t>
        </is>
      </c>
      <c r="I37" s="9" t="inlineStr">
        <is>
          <t>https://www.kabum.com.br/produto/513298/ssd-externo-sandisk-2tb-800mbs-usb-portatil-grafite</t>
        </is>
      </c>
      <c r="J37" s="5" t="inlineStr">
        <is>
          <t>No lugar do SanDisk de 560 MB/s: aquele é SSD interno SATA, precisa de case USB-C e sai mais caro (R$ 2.000 a 2.400). Este é externo, mais rápido e já liga no MacBook.</t>
        </is>
      </c>
    </row>
    <row r="39">
      <c r="B39" s="10" t="inlineStr">
        <is>
          <t>Total por categoria</t>
        </is>
      </c>
    </row>
    <row r="40">
      <c r="A40" s="11" t="n"/>
      <c r="B40" s="12" t="inlineStr">
        <is>
          <t>Câmeras e lentes</t>
        </is>
      </c>
      <c r="C40" s="11" t="n"/>
      <c r="D40" s="11" t="n"/>
      <c r="E40" s="13">
        <f>SUMIF($A$6:$A$37,B40,$E$6:$E$37)</f>
        <v>61145</v>
      </c>
      <c r="F40" s="11" t="n"/>
      <c r="G40" s="13">
        <f>SUMIF($A$6:$A$37,B40,$G$6:$G$37)</f>
        <v>54032</v>
      </c>
      <c r="H40" s="11" t="n"/>
      <c r="I40" s="11" t="n"/>
      <c r="J40" s="11" t="n"/>
    </row>
    <row r="41">
      <c r="A41" s="11" t="n"/>
      <c r="B41" s="12" t="inlineStr">
        <is>
          <t>Áudio</t>
        </is>
      </c>
      <c r="C41" s="11" t="n"/>
      <c r="D41" s="11" t="n"/>
      <c r="E41" s="13">
        <f>SUMIF($A$6:$A$37,B41,$E$6:$E$37)</f>
        <v>6159</v>
      </c>
      <c r="F41" s="11" t="n"/>
      <c r="G41" s="13">
        <f>SUMIF($A$6:$A$37,B41,$G$6:$G$37)</f>
        <v>5242</v>
      </c>
      <c r="H41" s="11" t="n"/>
      <c r="I41" s="11" t="n"/>
      <c r="J41" s="11" t="n"/>
    </row>
    <row r="42">
      <c r="A42" s="11" t="n"/>
      <c r="B42" s="12" t="inlineStr">
        <is>
          <t>Iluminação</t>
        </is>
      </c>
      <c r="C42" s="11" t="n"/>
      <c r="D42" s="11" t="n"/>
      <c r="E42" s="13">
        <f>SUMIF($A$6:$A$37,B42,$E$6:$E$37)</f>
        <v>6200</v>
      </c>
      <c r="F42" s="11" t="n"/>
      <c r="G42" s="13">
        <f>SUMIF($A$6:$A$37,B42,$G$6:$G$37)</f>
        <v>5275</v>
      </c>
      <c r="H42" s="11" t="n"/>
      <c r="I42" s="11" t="n"/>
      <c r="J42" s="11" t="n"/>
    </row>
    <row r="43">
      <c r="A43" s="11" t="n"/>
      <c r="B43" s="12" t="inlineStr">
        <is>
          <t>Suporte e energia</t>
        </is>
      </c>
      <c r="C43" s="11" t="n"/>
      <c r="D43" s="11" t="n"/>
      <c r="E43" s="13">
        <f>SUMIF($A$6:$A$37,B43,$E$6:$E$37)</f>
        <v>2284</v>
      </c>
      <c r="F43" s="11" t="n"/>
      <c r="G43" s="13">
        <f>SUMIF($A$6:$A$37,B43,$G$6:$G$37)</f>
        <v>2122</v>
      </c>
      <c r="H43" s="11" t="n"/>
      <c r="I43" s="11" t="n"/>
      <c r="J43" s="11" t="n"/>
    </row>
    <row r="44">
      <c r="A44" s="11" t="n"/>
      <c r="B44" s="12" t="inlineStr">
        <is>
          <t>Edição</t>
        </is>
      </c>
      <c r="C44" s="11" t="n"/>
      <c r="D44" s="11" t="n"/>
      <c r="E44" s="13">
        <f>SUMIF($A$6:$A$37,B44,$E$6:$E$37)</f>
        <v>10190</v>
      </c>
      <c r="F44" s="11" t="n"/>
      <c r="G44" s="13">
        <f>SUMIF($A$6:$A$37,B44,$G$6:$G$37)</f>
        <v>8854</v>
      </c>
      <c r="H44" s="11" t="n"/>
      <c r="I44" s="11" t="n"/>
      <c r="J44" s="11" t="n"/>
    </row>
    <row r="45">
      <c r="A45" s="14" t="n"/>
      <c r="B45" s="15" t="inlineStr">
        <is>
          <t>TOTAL GERAL</t>
        </is>
      </c>
      <c r="C45" s="14" t="n"/>
      <c r="D45" s="14" t="n"/>
      <c r="E45" s="16">
        <f>SUM(E6:E37)</f>
        <v>85978</v>
      </c>
      <c r="F45" s="14" t="n"/>
      <c r="G45" s="16">
        <f>SUM(G6:G37)</f>
        <v>75525</v>
      </c>
      <c r="H45" s="14" t="n"/>
      <c r="I45" s="14" t="n"/>
      <c r="J45" s="14" t="n"/>
    </row>
    <row r="47">
      <c r="B47" s="2" t="inlineStr">
        <is>
          <t>Subtotal médio: média das lojas sérias pesquisadas. Subtotal menor: o menor preço visto, quase sempre no Pix ou em marketplace; serve de piso para negociação.</t>
        </is>
      </c>
    </row>
  </sheetData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90" customWidth="1" min="3" max="3"/>
  </cols>
  <sheetData>
    <row r="1">
      <c r="A1" s="1" t="inlineStr">
        <is>
          <t>Onde comprar</t>
        </is>
      </c>
    </row>
    <row r="3">
      <c r="A3" s="17" t="inlineStr">
        <is>
          <t>Loja</t>
        </is>
      </c>
      <c r="B3" s="17" t="inlineStr">
        <is>
          <t>Para quê</t>
        </is>
      </c>
      <c r="C3" s="17" t="inlineStr">
        <is>
          <t>Observação</t>
        </is>
      </c>
    </row>
    <row r="4">
      <c r="A4" s="18" t="inlineStr">
        <is>
          <t>Bella Photo</t>
        </is>
      </c>
      <c r="B4" s="5" t="inlineStr">
        <is>
          <t>Câmeras, lentes e baterias Sony</t>
        </is>
      </c>
      <c r="C4" s="5" t="inlineStr">
        <is>
          <t>A melhor verificada: estoque real, 10% de desconto no Pix e 1 ano de garantia. Na FX30, garantia Sony Brasil.</t>
        </is>
      </c>
    </row>
    <row r="5">
      <c r="A5" s="18" t="inlineStr">
        <is>
          <t>Detona Shop</t>
        </is>
      </c>
      <c r="B5" s="5" t="inlineStr">
        <is>
          <t>Câmeras Sony e lentes Tamron</t>
        </is>
      </c>
      <c r="C5" s="5" t="inlineStr">
        <is>
          <t>Diz ser revenda oficial Sony, com 12 meses de garantia, e garantia Tamron Brasil nas lentes. O site estava instável no dia.</t>
        </is>
      </c>
    </row>
    <row r="6">
      <c r="A6" s="18" t="inlineStr">
        <is>
          <t>Shop AV / Loja dos Marios</t>
        </is>
      </c>
      <c r="B6" s="5" t="inlineStr">
        <is>
          <t>Baterias, carregadores e cartões</t>
        </is>
      </c>
      <c r="C6" s="5" t="inlineStr">
        <is>
          <t>A mais barata em acessórios, com nota fiscal. Prazo de entrega de 9 a 20 dias úteis.</t>
        </is>
      </c>
    </row>
    <row r="7">
      <c r="A7" s="18" t="inlineStr">
        <is>
          <t>KaBuM, Magalu e Amazon</t>
        </is>
      </c>
      <c r="B7" s="5" t="inlineStr">
        <is>
          <t>Quase tudo</t>
        </is>
      </c>
      <c r="C7" s="5" t="inlineStr">
        <is>
          <t>São marketplaces: olhar sempre o "vendido por". Garantia "do fornecedor" de 3 meses indica importação paralela.</t>
        </is>
      </c>
    </row>
    <row r="8">
      <c r="A8" s="18" t="inlineStr">
        <is>
          <t>Pichau, Terabyte e KaBuM</t>
        </is>
      </c>
      <c r="B8" s="5" t="inlineStr">
        <is>
          <t>Microfones, braços e fones</t>
        </is>
      </c>
      <c r="C8" s="5" t="inlineStr">
        <is>
          <t>Revenda nacional com nota fiscal. Fifine com estoque no Brasil.</t>
        </is>
      </c>
    </row>
    <row r="9">
      <c r="A9" s="18" t="inlineStr">
        <is>
          <t>Mundomax e Playtech</t>
        </is>
      </c>
      <c r="B9" s="5" t="inlineStr">
        <is>
          <t>Áudio profissional (Shure, Audio-Technica)</t>
        </is>
      </c>
      <c r="C9" s="5" t="inlineStr">
        <is>
          <t>Lojas de música com garantia oficial (24 meses no Shure da Mundomax).</t>
        </is>
      </c>
    </row>
    <row r="10">
      <c r="A10" s="18" t="inlineStr">
        <is>
          <t>Amazon</t>
        </is>
      </c>
      <c r="B10" s="5" t="inlineStr">
        <is>
          <t>Lark M3, octabox Triopo, Greika, Ulanzi, kit YN360</t>
        </is>
      </c>
      <c r="C10" s="5" t="inlineStr">
        <is>
          <t>Único lugar com o Lark M3 hoje. Conferir o vendedor e a garantia.</t>
        </is>
      </c>
    </row>
    <row r="11">
      <c r="A11" s="18" t="inlineStr">
        <is>
          <t>Mercado Livre</t>
        </is>
      </c>
      <c r="B11" s="5" t="inlineStr">
        <is>
          <t>Luz amaran, mattebox, acessórios, loja oficial Ulanzi</t>
        </is>
      </c>
      <c r="C11" s="5" t="inlineStr">
        <is>
          <t>Muitos anúncios são compra internacional: preço menor, mas sem garantia nacional e com prazo maior. Preferir anúncio com nota fiscal.</t>
        </is>
      </c>
    </row>
    <row r="12">
      <c r="A12" s="18" t="inlineStr">
        <is>
          <t>Leroy Merlin e KaBuM</t>
        </is>
      </c>
      <c r="B12" s="5" t="inlineStr">
        <is>
          <t>Mesa, filtro de linha e extensão</t>
        </is>
      </c>
      <c r="C12" s="5" t="inlineStr">
        <is>
          <t>Preços estáveis, produto nacional.</t>
        </is>
      </c>
    </row>
    <row r="13">
      <c r="A13" s="18" t="inlineStr">
        <is>
          <t>Mac Switch e GGImports</t>
        </is>
      </c>
      <c r="B13" s="5" t="inlineStr">
        <is>
          <t>MacBook seminovo</t>
        </is>
      </c>
      <c r="C13" s="5" t="inlineStr">
        <is>
          <t>Lojas de seminovos Apple com garantia (3 meses na Mac Switch) e troca em 7 dias. Particular na OLX sai mais barato, mas sem garantia: só comprar vendo a máquina ligada.</t>
        </is>
      </c>
    </row>
    <row r="14">
      <c r="A14" s="18" t="inlineStr">
        <is>
          <t>Importar dos EUA (B&amp;H, Adorama)</t>
        </is>
      </c>
      <c r="B14" s="5" t="inlineStr">
        <is>
          <t>Não compensa</t>
        </is>
      </c>
      <c r="C14" s="5" t="inlineStr">
        <is>
          <t>Fora do Remessa Conforme: 60% de imposto mais ICMS. Uma FX30 de US$ 1.750 chegaria a cerca de R$ 18 mil, contra R$ 9,8 mil na Bella Photo.</t>
        </is>
      </c>
    </row>
    <row r="15">
      <c r="A15" s="18" t="inlineStr">
        <is>
          <t>Trazer na mala</t>
        </is>
      </c>
      <c r="B15" s="5" t="inlineStr">
        <is>
          <t>Pode compensar em lente</t>
        </is>
      </c>
      <c r="C15" s="5" t="inlineStr">
        <is>
          <t>Cota de US$ 1.000; o excedente paga 50%. A Tamron 28-75 cabe na cota e economiza de R$ 1.000 a 1.500. Perde a garantia nacional.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2026-10-09T18:28:27Z</dcterms:created>
  <dcterms:modified xsi:type="dcterms:W3CDTF">2026-10-09T18:28:27Z</dcterms:modified>
</cp:coreProperties>
</file>